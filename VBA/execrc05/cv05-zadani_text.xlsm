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kola\pt1\"/>
    </mc:Choice>
  </mc:AlternateContent>
  <bookViews>
    <workbookView xWindow="0" yWindow="0" windowWidth="20490" windowHeight="7755"/>
  </bookViews>
  <sheets>
    <sheet name="List1" sheetId="1" r:id="rId1"/>
  </sheets>
  <calcPr calcId="152511"/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2" i="1"/>
  <c r="S3" i="1"/>
  <c r="S4" i="1"/>
  <c r="S5" i="1"/>
  <c r="S6" i="1"/>
  <c r="S7" i="1"/>
  <c r="S8" i="1"/>
  <c r="S9" i="1"/>
  <c r="S10" i="1"/>
  <c r="S2" i="1"/>
</calcChain>
</file>

<file path=xl/sharedStrings.xml><?xml version="1.0" encoding="utf-8"?>
<sst xmlns="http://schemas.openxmlformats.org/spreadsheetml/2006/main" count="108" uniqueCount="102">
  <si>
    <t>Kontrola e-mailu</t>
  </si>
  <si>
    <t>Co je to 90-50-90?</t>
  </si>
  <si>
    <t>Co vznikne zkřížením krávy a želvy?</t>
  </si>
  <si>
    <t>Nejí to, nepije to a přece to roste? Co je to?</t>
  </si>
  <si>
    <t>PRAVDA či NEPRAVDA? To je oč tu běží...</t>
  </si>
  <si>
    <t>Přišel jsem, našel jsem, spočítal jsem...</t>
  </si>
  <si>
    <t>Bůh je reálný, pokud nebyl deklarovaný jako integer.</t>
  </si>
  <si>
    <t>Co jsou to  Windows? Největší náhodný generátor chyb na světě.</t>
  </si>
  <si>
    <t>Jaký je rozdíl mezi Windows a kladivem? Kladivem nezničíte počítač za 4 vteřiny.</t>
  </si>
  <si>
    <t>Jak se rozmnožují počítačové viry? Pučením. Pučíš si DVD a už je to tady.</t>
  </si>
  <si>
    <t>Do While (spim = False) ovce = ovce + 1 Loop</t>
  </si>
  <si>
    <t>- Jízda městem kolem dopravního policisty.</t>
  </si>
  <si>
    <t>- Ceny</t>
  </si>
  <si>
    <t>Je to malé, zelené a strašně nebezpečné. Co to je? Žabička s admin právy.</t>
  </si>
  <si>
    <t>A sedmý den On ukončil režim APPEND.</t>
  </si>
  <si>
    <t>if (princ.sila &lt;= drak.sila) then princ.telo = princ.telo - hlava</t>
  </si>
  <si>
    <t>Žena programátorovi: "Kup 5 rohlíků a kdyby měli vejce, tak vem 10." Koupil 10 rohlíků.</t>
  </si>
  <si>
    <t>Počet výskytů v řetězci</t>
  </si>
  <si>
    <t xml:space="preserve">   ...   ...</t>
  </si>
  <si>
    <t xml:space="preserve">   ...</t>
  </si>
  <si>
    <t>Počítání slov</t>
  </si>
  <si>
    <t>Kolik slov máš, tolikrát jsi řetězcem...</t>
  </si>
  <si>
    <t>- Tele s                přilbou.</t>
  </si>
  <si>
    <t xml:space="preserve">               </t>
  </si>
  <si>
    <t>Existuje nějaká logická hra od Microsoftu?               Ano, Windows 95.</t>
  </si>
  <si>
    <t>Pro zjednodušení uvažujme jen následující pravidla korektního e-mailu:</t>
  </si>
  <si>
    <t>* Adresa obsahuje právě jeden @,</t>
  </si>
  <si>
    <t>* Adresa obsahuje alespoň jednu tečku,</t>
  </si>
  <si>
    <t>* Poslední tečka se nachází za zavináčem,</t>
  </si>
  <si>
    <t>* Za poslední tečkou mohou být 2-4 písmena,</t>
  </si>
  <si>
    <t>Na světě existuje typů lidí: 10. - Ti, co rozumí binární soustavě a ti, co ne.</t>
  </si>
  <si>
    <t>Windows nepadají...</t>
  </si>
  <si>
    <t>...a Země je placka!</t>
  </si>
  <si>
    <t>↓</t>
  </si>
  <si>
    <t>* Před a za zavináčem je alespoň 1 písmeno</t>
  </si>
  <si>
    <t>abc</t>
  </si>
  <si>
    <t>a@abc.cz</t>
  </si>
  <si>
    <t>a@a@abc.cz</t>
  </si>
  <si>
    <t>abc@abc</t>
  </si>
  <si>
    <t>a.abc@abc</t>
  </si>
  <si>
    <t>a.a.abc@abc</t>
  </si>
  <si>
    <t>abc@a.cz</t>
  </si>
  <si>
    <t>abc@a.info</t>
  </si>
  <si>
    <t>a@.cz</t>
  </si>
  <si>
    <t>abc@a.abcde</t>
  </si>
  <si>
    <t>a.@abc.cz</t>
  </si>
  <si>
    <t>tlačítko "Analyzuj e-maily"</t>
  </si>
  <si>
    <t>tlačítko "Počítej slova"</t>
  </si>
  <si>
    <t>tlačítko "Urči nejčetnější znak"</t>
  </si>
  <si>
    <t>O (6x)</t>
  </si>
  <si>
    <t>E (7x)</t>
  </si>
  <si>
    <t>O (5x)</t>
  </si>
  <si>
    <t>I (6x)</t>
  </si>
  <si>
    <t>E (13x)</t>
  </si>
  <si>
    <t>E (21x)</t>
  </si>
  <si>
    <t>Pomůcka:</t>
  </si>
  <si>
    <r>
      <t xml:space="preserve">Znaky budou počítány bez ohledu na </t>
    </r>
    <r>
      <rPr>
        <b/>
        <sz val="10"/>
        <color rgb="FFC00000"/>
        <rFont val="Calibri"/>
        <family val="2"/>
        <charset val="238"/>
        <scheme val="minor"/>
      </rPr>
      <t>velikost písmen</t>
    </r>
    <r>
      <rPr>
        <sz val="10"/>
        <color theme="1"/>
        <rFont val="Calibri"/>
        <family val="2"/>
        <charset val="238"/>
        <scheme val="minor"/>
      </rPr>
      <t>. Háčkované nebo čárkované písmeno je jiné než stejné písmeno bez háčku/čárky.</t>
    </r>
  </si>
  <si>
    <r>
      <t>Sloučené buňky ve sl. I znamenají, že se nejčetnější znak bude zjišťovat z</t>
    </r>
    <r>
      <rPr>
        <b/>
        <sz val="10"/>
        <color rgb="FFC00000"/>
        <rFont val="Calibri"/>
        <family val="2"/>
        <charset val="238"/>
        <scheme val="minor"/>
      </rPr>
      <t xml:space="preserve"> více řádků</t>
    </r>
    <r>
      <rPr>
        <sz val="10"/>
        <color theme="1"/>
        <rFont val="Calibri"/>
        <family val="2"/>
        <charset val="238"/>
        <scheme val="minor"/>
      </rPr>
      <t>. Pro zjištění sloučené buňky, popř. počtu sloučených buněk použijte pomůcku níže.</t>
    </r>
  </si>
  <si>
    <r>
      <t xml:space="preserve">Do bílých polí sl. C zkontrolujte </t>
    </r>
    <r>
      <rPr>
        <b/>
        <sz val="10"/>
        <color rgb="FFFF0000"/>
        <rFont val="Calibri"/>
        <family val="2"/>
        <charset val="238"/>
        <scheme val="minor"/>
      </rPr>
      <t>pomocí LIKE</t>
    </r>
    <r>
      <rPr>
        <sz val="10"/>
        <color theme="1"/>
        <rFont val="Calibri"/>
        <family val="2"/>
        <charset val="238"/>
        <scheme val="minor"/>
      </rPr>
      <t xml:space="preserve">  </t>
    </r>
    <r>
      <rPr>
        <u/>
        <sz val="10"/>
        <color theme="1"/>
        <rFont val="Calibri"/>
        <family val="2"/>
        <charset val="238"/>
        <scheme val="minor"/>
      </rPr>
      <t>platnost e-mailů</t>
    </r>
    <r>
      <rPr>
        <sz val="10"/>
        <color theme="1"/>
        <rFont val="Calibri"/>
        <family val="2"/>
        <charset val="238"/>
        <scheme val="minor"/>
      </rPr>
      <t xml:space="preserve"> ve sl. B - do buněk vepište "NEPRAVDA" nebo "PRAVDA".</t>
    </r>
  </si>
  <si>
    <r>
      <rPr>
        <sz val="11"/>
        <color rgb="FF009900"/>
        <rFont val="Calibri"/>
        <family val="2"/>
        <charset val="238"/>
        <scheme val="minor"/>
      </rPr>
      <t>Activecell.Mergecells</t>
    </r>
    <r>
      <rPr>
        <sz val="11"/>
        <color theme="1"/>
        <rFont val="Calibri"/>
        <family val="2"/>
        <charset val="238"/>
        <scheme val="minor"/>
      </rPr>
      <t xml:space="preserve">   ...   vrátí TRUE nebo FALSE dle toho, zda je </t>
    </r>
    <r>
      <rPr>
        <b/>
        <sz val="11"/>
        <color theme="1"/>
        <rFont val="Calibri"/>
        <family val="2"/>
        <charset val="238"/>
        <scheme val="minor"/>
      </rPr>
      <t>aktuální</t>
    </r>
    <r>
      <rPr>
        <sz val="11"/>
        <color theme="1"/>
        <rFont val="Calibri"/>
        <family val="2"/>
        <charset val="238"/>
        <scheme val="minor"/>
      </rPr>
      <t xml:space="preserve"> buňka sloučená</t>
    </r>
  </si>
  <si>
    <r>
      <rPr>
        <sz val="11"/>
        <color rgb="FF009900"/>
        <rFont val="Calibri"/>
        <family val="2"/>
        <charset val="238"/>
        <scheme val="minor"/>
      </rPr>
      <t>Activecell.MergeArea.Cells.Count</t>
    </r>
    <r>
      <rPr>
        <sz val="11"/>
        <color theme="1"/>
        <rFont val="Calibri"/>
        <family val="2"/>
        <charset val="238"/>
        <scheme val="minor"/>
      </rPr>
      <t xml:space="preserve">   ...   vrátí počet sloučených </t>
    </r>
    <r>
      <rPr>
        <u/>
        <sz val="11"/>
        <color theme="1"/>
        <rFont val="Calibri"/>
        <family val="2"/>
        <charset val="238"/>
        <scheme val="minor"/>
      </rPr>
      <t>buněk</t>
    </r>
  </si>
  <si>
    <r>
      <rPr>
        <sz val="11"/>
        <color rgb="FF009900"/>
        <rFont val="Calibri"/>
        <family val="2"/>
        <charset val="238"/>
        <scheme val="minor"/>
      </rPr>
      <t xml:space="preserve">Activecell.MergeArea.Columns.Count </t>
    </r>
    <r>
      <rPr>
        <sz val="11"/>
        <color theme="1"/>
        <rFont val="Calibri"/>
        <family val="2"/>
        <charset val="238"/>
        <scheme val="minor"/>
      </rPr>
      <t xml:space="preserve">  ...   vrátí počet sloučených </t>
    </r>
    <r>
      <rPr>
        <u/>
        <sz val="11"/>
        <color theme="1"/>
        <rFont val="Calibri"/>
        <family val="2"/>
        <charset val="238"/>
        <scheme val="minor"/>
      </rPr>
      <t>sloupců</t>
    </r>
  </si>
  <si>
    <r>
      <rPr>
        <sz val="11"/>
        <color rgb="FF009900"/>
        <rFont val="Calibri"/>
        <family val="2"/>
        <charset val="238"/>
        <scheme val="minor"/>
      </rPr>
      <t>Activecell.MergeArea.Rows.Count</t>
    </r>
    <r>
      <rPr>
        <sz val="11"/>
        <color theme="1"/>
        <rFont val="Calibri"/>
        <family val="2"/>
        <charset val="238"/>
        <scheme val="minor"/>
      </rPr>
      <t xml:space="preserve">   ...   vrátí počet sloučených </t>
    </r>
    <r>
      <rPr>
        <u/>
        <sz val="11"/>
        <color theme="1"/>
        <rFont val="Calibri"/>
        <family val="2"/>
        <charset val="238"/>
        <scheme val="minor"/>
      </rPr>
      <t>řádků</t>
    </r>
  </si>
  <si>
    <r>
      <rPr>
        <sz val="11"/>
        <color rgb="FF009900"/>
        <rFont val="Calibri"/>
        <family val="2"/>
        <charset val="238"/>
        <scheme val="minor"/>
      </rPr>
      <t>Activecell.MergeArea.Address</t>
    </r>
    <r>
      <rPr>
        <sz val="11"/>
        <color theme="1"/>
        <rFont val="Calibri"/>
        <family val="2"/>
        <charset val="238"/>
        <scheme val="minor"/>
      </rPr>
      <t xml:space="preserve">   ...   vrátí </t>
    </r>
    <r>
      <rPr>
        <u/>
        <sz val="11"/>
        <color theme="1"/>
        <rFont val="Calibri"/>
        <family val="2"/>
        <charset val="238"/>
        <scheme val="minor"/>
      </rPr>
      <t>rozsah</t>
    </r>
    <r>
      <rPr>
        <sz val="11"/>
        <color theme="1"/>
        <rFont val="Calibri"/>
        <family val="2"/>
        <charset val="238"/>
        <scheme val="minor"/>
      </rPr>
      <t xml:space="preserve"> buněk, které byly sloučeny (např. $A$1:$B$2)</t>
    </r>
  </si>
  <si>
    <t>použijte Option Explicit</t>
  </si>
  <si>
    <r>
      <t xml:space="preserve">Do bílých polí sl. I určete </t>
    </r>
    <r>
      <rPr>
        <u/>
        <sz val="10"/>
        <color theme="1"/>
        <rFont val="Calibri"/>
        <family val="2"/>
        <charset val="238"/>
        <scheme val="minor"/>
      </rPr>
      <t>nejpočetnější znak</t>
    </r>
    <r>
      <rPr>
        <i/>
        <sz val="10"/>
        <color theme="1"/>
        <rFont val="Calibri"/>
        <family val="2"/>
        <charset val="238"/>
        <scheme val="minor"/>
      </rPr>
      <t xml:space="preserve"> </t>
    </r>
    <r>
      <rPr>
        <sz val="10"/>
        <color theme="1"/>
        <rFont val="Calibri"/>
        <family val="2"/>
        <charset val="238"/>
        <scheme val="minor"/>
      </rPr>
      <t xml:space="preserve">v příslušné buňce (buňkách) sl. H - </t>
    </r>
    <r>
      <rPr>
        <b/>
        <sz val="10"/>
        <color rgb="FFC00000"/>
        <rFont val="Calibri"/>
        <family val="2"/>
        <charset val="238"/>
        <scheme val="minor"/>
      </rPr>
      <t>nepočítejte</t>
    </r>
    <r>
      <rPr>
        <b/>
        <sz val="10"/>
        <color theme="1"/>
        <rFont val="Calibri"/>
        <family val="2"/>
        <charset val="238"/>
        <scheme val="minor"/>
      </rPr>
      <t xml:space="preserve"> </t>
    </r>
    <r>
      <rPr>
        <b/>
        <sz val="10"/>
        <color rgb="FFC00000"/>
        <rFont val="Calibri"/>
        <family val="2"/>
        <charset val="238"/>
        <scheme val="minor"/>
      </rPr>
      <t>mezery</t>
    </r>
    <r>
      <rPr>
        <sz val="10"/>
        <color theme="1"/>
        <rFont val="Calibri"/>
        <family val="2"/>
        <charset val="238"/>
        <scheme val="minor"/>
      </rPr>
      <t xml:space="preserve">. Výstup bude formulován dle vzoru: "velký znak (#x)" - např.: "E (2x)". </t>
    </r>
    <r>
      <rPr>
        <b/>
        <sz val="10"/>
        <color rgb="FFC00000"/>
        <rFont val="Calibri"/>
        <family val="2"/>
        <charset val="238"/>
        <scheme val="minor"/>
      </rPr>
      <t>CheckBoxy</t>
    </r>
    <r>
      <rPr>
        <sz val="10"/>
        <color theme="1"/>
        <rFont val="Calibri"/>
        <family val="2"/>
        <charset val="238"/>
        <scheme val="minor"/>
      </rPr>
      <t xml:space="preserve"> ve sl. J určují, který řádek (skupina řádků) bude analyzován, a který nikoli (přeskočené výstupní buňky vyprázdněte).</t>
    </r>
  </si>
  <si>
    <r>
      <rPr>
        <sz val="11"/>
        <color rgb="FF009900"/>
        <rFont val="Calibri"/>
        <family val="2"/>
        <charset val="238"/>
        <scheme val="minor"/>
      </rPr>
      <t>Worksheets("List1").OLEObjects("CheckBox1").Object.Value</t>
    </r>
    <r>
      <rPr>
        <sz val="11"/>
        <color theme="1"/>
        <rFont val="Calibri"/>
        <family val="2"/>
        <charset val="238"/>
        <scheme val="minor"/>
      </rPr>
      <t xml:space="preserve">   ...   adresace CheckBoxu v listu</t>
    </r>
  </si>
  <si>
    <r>
      <rPr>
        <sz val="11"/>
        <color rgb="FF009900"/>
        <rFont val="Calibri"/>
        <family val="2"/>
        <charset val="238"/>
        <scheme val="minor"/>
      </rPr>
      <t>Worksheets("List1").CheckBox1.Value</t>
    </r>
    <r>
      <rPr>
        <sz val="11"/>
        <color theme="1"/>
        <rFont val="Calibri"/>
        <family val="2"/>
        <charset val="238"/>
        <scheme val="minor"/>
      </rPr>
      <t xml:space="preserve">   ...   adresace CheckBoxu v listu</t>
    </r>
  </si>
  <si>
    <r>
      <t xml:space="preserve">Do bílých polí sl. F spočtěte </t>
    </r>
    <r>
      <rPr>
        <u/>
        <sz val="10"/>
        <color theme="1"/>
        <rFont val="Calibri"/>
        <family val="2"/>
        <charset val="238"/>
        <scheme val="minor"/>
      </rPr>
      <t>počet slov</t>
    </r>
    <r>
      <rPr>
        <sz val="10"/>
        <color theme="1"/>
        <rFont val="Calibri"/>
        <family val="2"/>
        <charset val="238"/>
        <scheme val="minor"/>
      </rPr>
      <t xml:space="preserve"> v příslušné buňce sl. E - </t>
    </r>
    <r>
      <rPr>
        <b/>
        <sz val="10"/>
        <color rgb="FFFF0000"/>
        <rFont val="Calibri"/>
        <family val="2"/>
        <charset val="238"/>
        <scheme val="minor"/>
      </rPr>
      <t>bez použití funkce SPLIT</t>
    </r>
    <r>
      <rPr>
        <sz val="10"/>
        <color theme="1"/>
        <rFont val="Calibri"/>
        <family val="2"/>
        <charset val="238"/>
        <scheme val="minor"/>
      </rPr>
      <t>. Pozor na nežádoucí mezery.</t>
    </r>
  </si>
  <si>
    <t>nadbytečné mezery - i z prostředka řetězce</t>
  </si>
  <si>
    <r>
      <rPr>
        <sz val="11"/>
        <color rgb="FF009900"/>
        <rFont val="Calibri"/>
        <family val="2"/>
        <charset val="238"/>
        <scheme val="minor"/>
      </rPr>
      <t xml:space="preserve">Len(text) </t>
    </r>
    <r>
      <rPr>
        <sz val="11"/>
        <color theme="1"/>
        <rFont val="Calibri"/>
        <family val="2"/>
        <charset val="238"/>
        <scheme val="minor"/>
      </rPr>
      <t>... vrátí délku řetězce</t>
    </r>
  </si>
  <si>
    <r>
      <rPr>
        <sz val="11"/>
        <color rgb="FF009900"/>
        <rFont val="Calibri"/>
        <family val="2"/>
        <charset val="238"/>
        <scheme val="minor"/>
      </rPr>
      <t>Trim(text)</t>
    </r>
    <r>
      <rPr>
        <sz val="11"/>
        <color theme="1"/>
        <rFont val="Calibri"/>
        <family val="2"/>
        <charset val="238"/>
        <scheme val="minor"/>
      </rPr>
      <t xml:space="preserve"> ... vrátí řetězec bez mezer před a za řetězcem</t>
    </r>
  </si>
  <si>
    <r>
      <rPr>
        <sz val="11"/>
        <color rgb="FF009900"/>
        <rFont val="Calibri"/>
        <family val="2"/>
        <charset val="238"/>
        <scheme val="minor"/>
      </rPr>
      <t>WorksheetFunction.Trim(text)</t>
    </r>
    <r>
      <rPr>
        <sz val="11"/>
        <color theme="1"/>
        <rFont val="Calibri"/>
        <family val="2"/>
        <charset val="238"/>
        <scheme val="minor"/>
      </rPr>
      <t xml:space="preserve"> ... odstraní všechny</t>
    </r>
  </si>
  <si>
    <r>
      <rPr>
        <sz val="11"/>
        <color rgb="FF009900"/>
        <rFont val="Calibri"/>
        <family val="2"/>
        <charset val="238"/>
        <scheme val="minor"/>
      </rPr>
      <t>InStr(1, "te+t", "+")</t>
    </r>
    <r>
      <rPr>
        <sz val="11"/>
        <color theme="1"/>
        <rFont val="Calibri"/>
        <family val="2"/>
        <charset val="238"/>
        <scheme val="minor"/>
      </rPr>
      <t xml:space="preserve"> ... vrátí pozici prvního výskutu</t>
    </r>
  </si>
  <si>
    <t>hledaného "+" v řetězci "te+t" - hledá se od 1. znaku</t>
  </si>
  <si>
    <r>
      <rPr>
        <sz val="11"/>
        <color rgb="FF009900"/>
        <rFont val="Calibri"/>
        <family val="2"/>
        <charset val="238"/>
        <scheme val="minor"/>
      </rPr>
      <t>Left("text", 3)</t>
    </r>
    <r>
      <rPr>
        <sz val="11"/>
        <color theme="1"/>
        <rFont val="Calibri"/>
        <family val="2"/>
        <charset val="238"/>
        <scheme val="minor"/>
      </rPr>
      <t xml:space="preserve"> ... vrátí 3 znaky zleva z řetezce "text"</t>
    </r>
  </si>
  <si>
    <r>
      <rPr>
        <sz val="11"/>
        <color rgb="FF009900"/>
        <rFont val="Calibri"/>
        <family val="2"/>
        <charset val="238"/>
        <scheme val="minor"/>
      </rPr>
      <t>Mid("text", 2, 1)</t>
    </r>
    <r>
      <rPr>
        <sz val="11"/>
        <color theme="1"/>
        <rFont val="Calibri"/>
        <family val="2"/>
        <charset val="238"/>
        <scheme val="minor"/>
      </rPr>
      <t xml:space="preserve"> ... vrátí 1 znak od 2. pozice v řetězci</t>
    </r>
  </si>
  <si>
    <r>
      <rPr>
        <sz val="11"/>
        <color rgb="FF009900"/>
        <rFont val="Calibri"/>
        <family val="2"/>
        <charset val="238"/>
        <scheme val="minor"/>
      </rPr>
      <t>UCase(text)</t>
    </r>
    <r>
      <rPr>
        <sz val="11"/>
        <color theme="1"/>
        <rFont val="Calibri"/>
        <family val="2"/>
        <charset val="238"/>
        <scheme val="minor"/>
      </rPr>
      <t xml:space="preserve"> ... vrátí řetězec zvětšený na velká písmena</t>
    </r>
  </si>
  <si>
    <t>*   ...   zastupuje 0 a více znaků</t>
  </si>
  <si>
    <t>?   ...   zastupuje 1 a více znaků</t>
  </si>
  <si>
    <t>[A-Z,a-z]   ...   zastupuje 1 znak z abecedy</t>
  </si>
  <si>
    <t>bonusový úkol</t>
  </si>
  <si>
    <t>č</t>
  </si>
  <si>
    <t>ď</t>
  </si>
  <si>
    <t>á</t>
  </si>
  <si>
    <t>é</t>
  </si>
  <si>
    <t>ě</t>
  </si>
  <si>
    <t>í</t>
  </si>
  <si>
    <t>ň</t>
  </si>
  <si>
    <t>ó</t>
  </si>
  <si>
    <t>ř</t>
  </si>
  <si>
    <t>š</t>
  </si>
  <si>
    <t>ť</t>
  </si>
  <si>
    <t>ú</t>
  </si>
  <si>
    <t>ů</t>
  </si>
  <si>
    <t>ý</t>
  </si>
  <si>
    <t>ž</t>
  </si>
  <si>
    <t>Ox6</t>
  </si>
  <si>
    <t>Ox5</t>
  </si>
  <si>
    <t>Ex7</t>
  </si>
  <si>
    <t>Ex13</t>
  </si>
  <si>
    <t>Ox14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</si>
</sst>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rgb="FFFF0000"/>
      <name val="Calibri"/>
      <family val="2"/>
      <charset val="238"/>
      <scheme val="minor"/>
    </font>
    <font>
      <b/>
      <sz val="18"/>
      <color theme="1"/>
      <name val="Times New Roman"/>
      <family val="1"/>
      <charset val="238"/>
    </font>
    <font>
      <sz val="8"/>
      <color theme="0" tint="-4.9989318521683403E-2"/>
      <name val="Calibri"/>
      <family val="2"/>
      <charset val="238"/>
      <scheme val="minor"/>
    </font>
    <font>
      <b/>
      <sz val="10"/>
      <color rgb="FFC00000"/>
      <name val="Calibri"/>
      <family val="2"/>
      <charset val="238"/>
      <scheme val="minor"/>
    </font>
    <font>
      <u/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009900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1" fillId="2" borderId="0" xfId="0" applyFont="1" applyFill="1"/>
    <xf numFmtId="0" fontId="3" fillId="3" borderId="1" xfId="0" applyFont="1" applyFill="1" applyBorder="1"/>
    <xf numFmtId="0" fontId="4" fillId="0" borderId="1" xfId="0" applyFont="1" applyBorder="1"/>
    <xf numFmtId="0" fontId="1" fillId="4" borderId="3" xfId="0" applyFont="1" applyFill="1" applyBorder="1"/>
    <xf numFmtId="0" fontId="2" fillId="4" borderId="2" xfId="0" applyFont="1" applyFill="1" applyBorder="1"/>
    <xf numFmtId="0" fontId="3" fillId="3" borderId="1" xfId="0" quotePrefix="1" applyFont="1" applyFill="1" applyBorder="1"/>
    <xf numFmtId="0" fontId="0" fillId="2" borderId="0" xfId="0" applyFill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13" xfId="0" applyFill="1" applyBorder="1"/>
    <xf numFmtId="0" fontId="8" fillId="2" borderId="0" xfId="0" applyFont="1" applyFill="1" applyAlignment="1">
      <alignment horizontal="left" vertical="center"/>
    </xf>
    <xf numFmtId="0" fontId="3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5" borderId="11" xfId="0" applyFont="1" applyFill="1" applyBorder="1" applyAlignment="1">
      <alignment horizontal="left" vertical="top" indent="1"/>
    </xf>
    <xf numFmtId="0" fontId="4" fillId="5" borderId="12" xfId="0" applyFont="1" applyFill="1" applyBorder="1" applyAlignment="1">
      <alignment horizontal="left" vertical="top" indent="1"/>
    </xf>
    <xf numFmtId="0" fontId="4" fillId="5" borderId="9" xfId="0" applyFont="1" applyFill="1" applyBorder="1" applyAlignment="1">
      <alignment horizontal="left" vertical="top" indent="1"/>
    </xf>
    <xf numFmtId="0" fontId="4" fillId="5" borderId="10" xfId="0" applyFont="1" applyFill="1" applyBorder="1" applyAlignment="1">
      <alignment horizontal="left" vertical="top" indent="1"/>
    </xf>
    <xf numFmtId="0" fontId="0" fillId="4" borderId="11" xfId="0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8" xfId="0" applyFont="1" applyFill="1" applyBorder="1" applyAlignment="1">
      <alignment horizontal="left" vertical="center"/>
    </xf>
    <xf numFmtId="0" fontId="0" fillId="4" borderId="9" xfId="0" applyFill="1" applyBorder="1" applyAlignment="1">
      <alignment horizontal="right" vertical="center"/>
    </xf>
    <xf numFmtId="0" fontId="0" fillId="4" borderId="10" xfId="0" applyFill="1" applyBorder="1" applyAlignment="1">
      <alignment horizontal="right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14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0" fontId="4" fillId="5" borderId="7" xfId="0" applyFont="1" applyFill="1" applyBorder="1" applyAlignment="1">
      <alignment horizontal="left" vertical="center" wrapText="1"/>
    </xf>
    <xf numFmtId="0" fontId="4" fillId="5" borderId="8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9900"/>
      <color rgb="FFFFFFCC"/>
      <color rgb="FFFFFF99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6" name="Check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1027" name="CheckBox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1028" name="CheckBox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0</xdr:rowOff>
        </xdr:from>
        <xdr:to>
          <xdr:col>10</xdr:col>
          <xdr:colOff>0</xdr:colOff>
          <xdr:row>11</xdr:row>
          <xdr:rowOff>0</xdr:rowOff>
        </xdr:to>
        <xdr:sp macro="" textlink="">
          <xdr:nvSpPr>
            <xdr:cNvPr id="1029" name="CheckBox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10</xdr:col>
          <xdr:colOff>0</xdr:colOff>
          <xdr:row>12</xdr:row>
          <xdr:rowOff>0</xdr:rowOff>
        </xdr:to>
        <xdr:sp macro="" textlink="">
          <xdr:nvSpPr>
            <xdr:cNvPr id="1030" name="CheckBox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10</xdr:col>
          <xdr:colOff>0</xdr:colOff>
          <xdr:row>15</xdr:row>
          <xdr:rowOff>0</xdr:rowOff>
        </xdr:to>
        <xdr:sp macro="" textlink="">
          <xdr:nvSpPr>
            <xdr:cNvPr id="1031" name="CheckBox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990600</xdr:colOff>
          <xdr:row>16</xdr:row>
          <xdr:rowOff>104775</xdr:rowOff>
        </xdr:from>
        <xdr:to>
          <xdr:col>7</xdr:col>
          <xdr:colOff>4038600</xdr:colOff>
          <xdr:row>16</xdr:row>
          <xdr:rowOff>438150</xdr:rowOff>
        </xdr:to>
        <xdr:sp macro="" textlink="">
          <xdr:nvSpPr>
            <xdr:cNvPr id="1032" name="countBtn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16</xdr:row>
          <xdr:rowOff>171450</xdr:rowOff>
        </xdr:from>
        <xdr:to>
          <xdr:col>4</xdr:col>
          <xdr:colOff>2419350</xdr:colOff>
          <xdr:row>16</xdr:row>
          <xdr:rowOff>466725</xdr:rowOff>
        </xdr:to>
        <xdr:sp macro="" textlink="">
          <xdr:nvSpPr>
            <xdr:cNvPr id="1033" name="countWord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16</xdr:row>
          <xdr:rowOff>171450</xdr:rowOff>
        </xdr:from>
        <xdr:to>
          <xdr:col>2</xdr:col>
          <xdr:colOff>838200</xdr:colOff>
          <xdr:row>16</xdr:row>
          <xdr:rowOff>533400</xdr:rowOff>
        </xdr:to>
        <xdr:sp macro="" textlink="">
          <xdr:nvSpPr>
            <xdr:cNvPr id="1034" name="analyseMail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9.xml"/><Relationship Id="rId2" Type="http://schemas.openxmlformats.org/officeDocument/2006/relationships/drawing" Target="../drawings/drawing1.xml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8.xml"/><Relationship Id="rId10" Type="http://schemas.openxmlformats.org/officeDocument/2006/relationships/image" Target="../media/image3.emf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S39"/>
  <sheetViews>
    <sheetView tabSelected="1" topLeftCell="D1" zoomScale="90" zoomScaleNormal="90" workbookViewId="0">
      <selection activeCell="H9" sqref="H9:H11"/>
    </sheetView>
  </sheetViews>
  <sheetFormatPr defaultRowHeight="15" x14ac:dyDescent="0.25"/>
  <cols>
    <col min="2" max="2" width="23.28515625" customWidth="1"/>
    <col min="3" max="3" width="17.85546875" customWidth="1"/>
    <col min="4" max="4" width="10" customWidth="1"/>
    <col min="5" max="5" width="39.5703125" customWidth="1"/>
    <col min="6" max="6" width="7.85546875" style="12" customWidth="1"/>
    <col min="7" max="7" width="6.85546875" customWidth="1"/>
    <col min="8" max="8" width="78.5703125" customWidth="1"/>
    <col min="9" max="9" width="7.85546875" style="12" customWidth="1"/>
    <col min="10" max="10" width="4.28515625" customWidth="1"/>
  </cols>
  <sheetData>
    <row r="1" spans="1:19" x14ac:dyDescent="0.25">
      <c r="A1" s="8"/>
      <c r="B1" s="1"/>
      <c r="C1" s="1"/>
      <c r="D1" s="1"/>
      <c r="E1" s="1"/>
      <c r="F1" s="8"/>
      <c r="G1" s="1"/>
      <c r="H1" s="1"/>
      <c r="I1" s="8"/>
      <c r="J1" s="8"/>
      <c r="K1" s="8"/>
      <c r="L1" s="8"/>
    </row>
    <row r="2" spans="1:19" x14ac:dyDescent="0.25">
      <c r="A2" s="8"/>
      <c r="B2" s="1" t="s">
        <v>4</v>
      </c>
      <c r="C2" s="2"/>
      <c r="D2" s="1"/>
      <c r="E2" s="1" t="s">
        <v>21</v>
      </c>
      <c r="F2" s="10"/>
      <c r="G2" s="1"/>
      <c r="H2" s="1" t="s">
        <v>5</v>
      </c>
      <c r="I2" s="10"/>
      <c r="J2" s="8"/>
      <c r="K2" s="8"/>
      <c r="L2" s="8"/>
      <c r="M2" t="s">
        <v>84</v>
      </c>
      <c r="N2">
        <v>225</v>
      </c>
      <c r="O2">
        <v>225</v>
      </c>
      <c r="P2">
        <v>328</v>
      </c>
      <c r="Q2">
        <f>P2-241</f>
        <v>87</v>
      </c>
      <c r="R2">
        <v>225</v>
      </c>
      <c r="S2">
        <f>R2-197</f>
        <v>28</v>
      </c>
    </row>
    <row r="3" spans="1:19" x14ac:dyDescent="0.25">
      <c r="A3" s="8"/>
      <c r="B3" s="6" t="s">
        <v>0</v>
      </c>
      <c r="C3" s="5"/>
      <c r="D3" s="1"/>
      <c r="E3" s="6" t="s">
        <v>20</v>
      </c>
      <c r="F3" s="9"/>
      <c r="G3" s="1"/>
      <c r="H3" s="6" t="s">
        <v>17</v>
      </c>
      <c r="I3" s="41" t="s">
        <v>81</v>
      </c>
      <c r="J3" s="42"/>
      <c r="K3" s="8"/>
      <c r="L3" s="8"/>
      <c r="M3" t="s">
        <v>82</v>
      </c>
      <c r="N3">
        <v>269</v>
      </c>
      <c r="O3">
        <v>269</v>
      </c>
      <c r="P3">
        <v>345</v>
      </c>
      <c r="Q3">
        <f t="shared" ref="Q3:Q7" si="0">P3-241</f>
        <v>104</v>
      </c>
      <c r="R3">
        <v>233</v>
      </c>
      <c r="S3">
        <f t="shared" ref="S3:S10" si="1">R3-197</f>
        <v>36</v>
      </c>
    </row>
    <row r="4" spans="1:19" x14ac:dyDescent="0.25">
      <c r="A4" s="8"/>
      <c r="B4" s="1"/>
      <c r="C4" s="1"/>
      <c r="D4" s="1"/>
      <c r="E4" s="1"/>
      <c r="F4" s="8"/>
      <c r="G4" s="1"/>
      <c r="H4" s="1"/>
      <c r="I4" s="8"/>
      <c r="J4" s="1"/>
      <c r="K4" s="8"/>
      <c r="L4" s="8"/>
      <c r="M4" t="s">
        <v>83</v>
      </c>
      <c r="N4">
        <v>271</v>
      </c>
      <c r="O4">
        <v>271</v>
      </c>
      <c r="P4">
        <v>353</v>
      </c>
      <c r="Q4">
        <f t="shared" si="0"/>
        <v>112</v>
      </c>
      <c r="R4">
        <v>237</v>
      </c>
      <c r="S4">
        <f t="shared" si="1"/>
        <v>40</v>
      </c>
    </row>
    <row r="5" spans="1:19" x14ac:dyDescent="0.25">
      <c r="A5" s="8"/>
      <c r="B5" s="15" t="s">
        <v>35</v>
      </c>
      <c r="C5" s="4" t="b">
        <v>0</v>
      </c>
      <c r="D5" s="14" t="b">
        <v>0</v>
      </c>
      <c r="E5" s="3" t="s">
        <v>1</v>
      </c>
      <c r="F5" s="11"/>
      <c r="G5" s="14">
        <v>4</v>
      </c>
      <c r="H5" s="3" t="s">
        <v>24</v>
      </c>
      <c r="I5" s="11" t="s">
        <v>97</v>
      </c>
      <c r="J5" s="1"/>
      <c r="K5" s="14" t="s">
        <v>49</v>
      </c>
      <c r="L5" s="14"/>
      <c r="M5" t="s">
        <v>85</v>
      </c>
      <c r="N5">
        <v>233</v>
      </c>
      <c r="O5">
        <v>233</v>
      </c>
      <c r="P5">
        <v>357</v>
      </c>
      <c r="Q5">
        <f t="shared" si="0"/>
        <v>116</v>
      </c>
      <c r="R5">
        <v>243</v>
      </c>
      <c r="S5">
        <f t="shared" si="1"/>
        <v>46</v>
      </c>
    </row>
    <row r="6" spans="1:19" x14ac:dyDescent="0.25">
      <c r="A6" s="8"/>
      <c r="B6" s="15" t="s">
        <v>36</v>
      </c>
      <c r="C6" s="4" t="b">
        <v>1</v>
      </c>
      <c r="D6" s="14" t="b">
        <v>1</v>
      </c>
      <c r="E6" s="7" t="s">
        <v>11</v>
      </c>
      <c r="F6" s="11"/>
      <c r="G6" s="14">
        <v>6</v>
      </c>
      <c r="H6" s="7" t="s">
        <v>10</v>
      </c>
      <c r="I6" s="11" t="s">
        <v>98</v>
      </c>
      <c r="J6" s="1"/>
      <c r="K6" s="14" t="s">
        <v>51</v>
      </c>
      <c r="L6" s="14"/>
      <c r="M6" t="s">
        <v>86</v>
      </c>
      <c r="N6">
        <v>283</v>
      </c>
      <c r="O6">
        <v>283</v>
      </c>
      <c r="P6">
        <v>367</v>
      </c>
      <c r="Q6">
        <f t="shared" si="0"/>
        <v>126</v>
      </c>
      <c r="R6">
        <v>250</v>
      </c>
      <c r="S6">
        <f t="shared" si="1"/>
        <v>53</v>
      </c>
    </row>
    <row r="7" spans="1:19" x14ac:dyDescent="0.25">
      <c r="A7" s="8"/>
      <c r="B7" s="15" t="s">
        <v>37</v>
      </c>
      <c r="C7" s="4" t="b">
        <v>0</v>
      </c>
      <c r="D7" s="14" t="b">
        <v>0</v>
      </c>
      <c r="E7" s="7" t="s">
        <v>19</v>
      </c>
      <c r="F7" s="11"/>
      <c r="G7" s="14">
        <v>1</v>
      </c>
      <c r="H7" s="7" t="s">
        <v>7</v>
      </c>
      <c r="I7" s="11" t="s">
        <v>97</v>
      </c>
      <c r="J7" s="1"/>
      <c r="K7" s="14" t="s">
        <v>49</v>
      </c>
      <c r="L7" s="14"/>
      <c r="M7" t="s">
        <v>87</v>
      </c>
      <c r="N7">
        <v>237</v>
      </c>
      <c r="O7">
        <v>237</v>
      </c>
      <c r="P7">
        <v>382</v>
      </c>
      <c r="Q7">
        <f t="shared" si="0"/>
        <v>141</v>
      </c>
      <c r="R7">
        <v>253</v>
      </c>
      <c r="S7">
        <f t="shared" si="1"/>
        <v>56</v>
      </c>
    </row>
    <row r="8" spans="1:19" x14ac:dyDescent="0.25">
      <c r="A8" s="8"/>
      <c r="B8" s="15" t="s">
        <v>38</v>
      </c>
      <c r="C8" s="4" t="b">
        <v>0</v>
      </c>
      <c r="D8" s="14" t="b">
        <v>0</v>
      </c>
      <c r="E8" s="3" t="s">
        <v>3</v>
      </c>
      <c r="F8" s="11"/>
      <c r="G8" s="14">
        <v>11</v>
      </c>
      <c r="H8" s="7" t="s">
        <v>15</v>
      </c>
      <c r="I8" s="11"/>
      <c r="J8" s="1"/>
      <c r="K8" s="14" t="s">
        <v>52</v>
      </c>
      <c r="L8" s="14"/>
      <c r="M8" t="s">
        <v>88</v>
      </c>
      <c r="N8">
        <v>328</v>
      </c>
      <c r="O8">
        <v>243</v>
      </c>
      <c r="R8">
        <v>269</v>
      </c>
      <c r="S8">
        <f t="shared" si="1"/>
        <v>72</v>
      </c>
    </row>
    <row r="9" spans="1:19" x14ac:dyDescent="0.25">
      <c r="A9" s="8"/>
      <c r="B9" s="15" t="s">
        <v>39</v>
      </c>
      <c r="C9" s="4" t="b">
        <v>0</v>
      </c>
      <c r="D9" s="14" t="b">
        <v>0</v>
      </c>
      <c r="E9" s="7" t="s">
        <v>12</v>
      </c>
      <c r="F9" s="11"/>
      <c r="G9" s="14">
        <v>2</v>
      </c>
      <c r="H9" s="3" t="s">
        <v>16</v>
      </c>
      <c r="I9" s="21" t="s">
        <v>101</v>
      </c>
      <c r="J9" s="1"/>
      <c r="K9" s="32" t="s">
        <v>54</v>
      </c>
      <c r="L9" s="14"/>
      <c r="M9" t="s">
        <v>89</v>
      </c>
      <c r="N9">
        <v>243</v>
      </c>
      <c r="O9">
        <v>250</v>
      </c>
      <c r="R9">
        <v>271</v>
      </c>
      <c r="S9">
        <f t="shared" si="1"/>
        <v>74</v>
      </c>
    </row>
    <row r="10" spans="1:19" x14ac:dyDescent="0.25">
      <c r="A10" s="8"/>
      <c r="B10" s="15" t="s">
        <v>40</v>
      </c>
      <c r="C10" s="4" t="b">
        <v>0</v>
      </c>
      <c r="D10" s="14" t="b">
        <v>0</v>
      </c>
      <c r="E10" s="7" t="s">
        <v>18</v>
      </c>
      <c r="F10" s="11"/>
      <c r="G10" s="14">
        <v>2</v>
      </c>
      <c r="H10" s="3" t="s">
        <v>8</v>
      </c>
      <c r="I10" s="22"/>
      <c r="J10" s="1"/>
      <c r="K10" s="32"/>
      <c r="L10" s="14"/>
      <c r="M10" t="s">
        <v>90</v>
      </c>
      <c r="N10">
        <v>345</v>
      </c>
      <c r="O10">
        <v>253</v>
      </c>
      <c r="R10">
        <v>283</v>
      </c>
      <c r="S10">
        <f t="shared" si="1"/>
        <v>86</v>
      </c>
    </row>
    <row r="11" spans="1:19" x14ac:dyDescent="0.25">
      <c r="A11" s="8"/>
      <c r="B11" s="15" t="s">
        <v>41</v>
      </c>
      <c r="C11" s="4" t="b">
        <v>1</v>
      </c>
      <c r="D11" s="14" t="b">
        <v>1</v>
      </c>
      <c r="E11" s="3" t="s">
        <v>2</v>
      </c>
      <c r="F11" s="11"/>
      <c r="G11" s="14">
        <v>6</v>
      </c>
      <c r="H11" s="3" t="s">
        <v>9</v>
      </c>
      <c r="I11" s="23"/>
      <c r="J11" s="1"/>
      <c r="K11" s="32"/>
      <c r="L11" s="14"/>
      <c r="M11" t="s">
        <v>91</v>
      </c>
      <c r="N11">
        <v>353</v>
      </c>
    </row>
    <row r="12" spans="1:19" x14ac:dyDescent="0.25">
      <c r="A12" s="8"/>
      <c r="B12" s="15" t="s">
        <v>42</v>
      </c>
      <c r="C12" s="4" t="b">
        <v>1</v>
      </c>
      <c r="D12" s="14" t="b">
        <v>1</v>
      </c>
      <c r="E12" s="7" t="s">
        <v>22</v>
      </c>
      <c r="F12" s="11"/>
      <c r="G12" s="14">
        <v>4</v>
      </c>
      <c r="H12" s="3" t="s">
        <v>13</v>
      </c>
      <c r="I12" s="16" t="s">
        <v>99</v>
      </c>
      <c r="J12" s="1"/>
      <c r="K12" s="14" t="s">
        <v>50</v>
      </c>
      <c r="L12" s="14"/>
      <c r="M12" t="s">
        <v>92</v>
      </c>
      <c r="N12">
        <v>357</v>
      </c>
    </row>
    <row r="13" spans="1:19" x14ac:dyDescent="0.25">
      <c r="A13" s="8"/>
      <c r="B13" s="15" t="s">
        <v>44</v>
      </c>
      <c r="C13" s="4" t="b">
        <v>1</v>
      </c>
      <c r="D13" s="14" t="b">
        <v>0</v>
      </c>
      <c r="E13" s="7" t="s">
        <v>23</v>
      </c>
      <c r="F13" s="11"/>
      <c r="G13" s="14">
        <v>0</v>
      </c>
      <c r="H13" s="7" t="s">
        <v>14</v>
      </c>
      <c r="I13" s="21" t="s">
        <v>100</v>
      </c>
      <c r="J13" s="1"/>
      <c r="K13" s="32" t="s">
        <v>53</v>
      </c>
      <c r="L13" s="14"/>
      <c r="M13" t="s">
        <v>93</v>
      </c>
      <c r="N13">
        <v>250</v>
      </c>
    </row>
    <row r="14" spans="1:19" x14ac:dyDescent="0.25">
      <c r="A14" s="8"/>
      <c r="B14" s="15" t="s">
        <v>45</v>
      </c>
      <c r="C14" s="4" t="b">
        <v>1</v>
      </c>
      <c r="D14" s="14" t="b">
        <v>0</v>
      </c>
      <c r="E14" s="3" t="s">
        <v>31</v>
      </c>
      <c r="F14" s="11"/>
      <c r="G14" s="14">
        <v>2</v>
      </c>
      <c r="H14" s="3" t="s">
        <v>6</v>
      </c>
      <c r="I14" s="22"/>
      <c r="J14" s="1"/>
      <c r="K14" s="32"/>
      <c r="L14" s="14"/>
      <c r="M14" t="s">
        <v>94</v>
      </c>
      <c r="N14">
        <v>367</v>
      </c>
    </row>
    <row r="15" spans="1:19" x14ac:dyDescent="0.25">
      <c r="A15" s="8"/>
      <c r="B15" s="15" t="s">
        <v>43</v>
      </c>
      <c r="C15" s="4" t="b">
        <v>1</v>
      </c>
      <c r="D15" s="14" t="b">
        <v>0</v>
      </c>
      <c r="E15" s="3" t="s">
        <v>32</v>
      </c>
      <c r="F15" s="11"/>
      <c r="G15" s="14">
        <v>4</v>
      </c>
      <c r="H15" s="7" t="s">
        <v>30</v>
      </c>
      <c r="I15" s="23"/>
      <c r="J15" s="1"/>
      <c r="K15" s="32"/>
      <c r="L15" s="14"/>
      <c r="M15" t="s">
        <v>95</v>
      </c>
      <c r="N15">
        <v>253</v>
      </c>
    </row>
    <row r="16" spans="1:19" x14ac:dyDescent="0.25">
      <c r="A16" s="8"/>
      <c r="B16" s="1"/>
      <c r="C16" s="1"/>
      <c r="D16" s="1"/>
      <c r="E16" s="1"/>
      <c r="F16" s="8"/>
      <c r="G16" s="1"/>
      <c r="H16" s="1"/>
      <c r="I16" s="8"/>
      <c r="J16" s="1"/>
      <c r="K16" s="8"/>
      <c r="L16" s="8"/>
      <c r="M16" t="s">
        <v>96</v>
      </c>
      <c r="N16">
        <v>382</v>
      </c>
    </row>
    <row r="17" spans="1:12" ht="45" customHeight="1" x14ac:dyDescent="0.25">
      <c r="A17" s="8"/>
      <c r="B17" s="19" t="s">
        <v>46</v>
      </c>
      <c r="C17" s="20"/>
      <c r="D17" s="1"/>
      <c r="E17" s="19" t="s">
        <v>47</v>
      </c>
      <c r="F17" s="20"/>
      <c r="G17" s="1"/>
      <c r="H17" s="19" t="s">
        <v>48</v>
      </c>
      <c r="I17" s="20"/>
      <c r="J17" s="1"/>
      <c r="K17" s="8"/>
      <c r="L17" s="8"/>
    </row>
    <row r="18" spans="1:12" ht="30" customHeight="1" x14ac:dyDescent="0.25">
      <c r="A18" s="8"/>
      <c r="B18" s="40" t="s">
        <v>33</v>
      </c>
      <c r="C18" s="40"/>
      <c r="D18" s="1"/>
      <c r="E18" s="40" t="s">
        <v>33</v>
      </c>
      <c r="F18" s="40"/>
      <c r="G18" s="1"/>
      <c r="H18" s="40" t="s">
        <v>33</v>
      </c>
      <c r="I18" s="40"/>
      <c r="J18" s="1"/>
      <c r="K18" s="8"/>
      <c r="L18" s="8"/>
    </row>
    <row r="19" spans="1:12" x14ac:dyDescent="0.25">
      <c r="A19" s="8"/>
      <c r="B19" s="37" t="s">
        <v>64</v>
      </c>
      <c r="C19" s="38"/>
      <c r="D19" s="38"/>
      <c r="E19" s="38"/>
      <c r="F19" s="38"/>
      <c r="G19" s="38"/>
      <c r="H19" s="38"/>
      <c r="I19" s="39"/>
      <c r="J19" s="1"/>
      <c r="K19" s="8"/>
      <c r="L19" s="8"/>
    </row>
    <row r="20" spans="1:12" x14ac:dyDescent="0.25">
      <c r="A20" s="8"/>
      <c r="B20" s="1"/>
      <c r="C20" s="1"/>
      <c r="D20" s="1"/>
      <c r="E20" s="1"/>
      <c r="F20" s="8"/>
      <c r="G20" s="1"/>
      <c r="H20" s="1"/>
      <c r="I20" s="8"/>
      <c r="J20" s="1"/>
      <c r="K20" s="8"/>
      <c r="L20" s="8"/>
    </row>
    <row r="21" spans="1:12" ht="45" customHeight="1" x14ac:dyDescent="0.25">
      <c r="A21" s="8"/>
      <c r="B21" s="47" t="s">
        <v>58</v>
      </c>
      <c r="C21" s="48"/>
      <c r="D21" s="1"/>
      <c r="E21" s="47" t="s">
        <v>68</v>
      </c>
      <c r="F21" s="48"/>
      <c r="G21" s="1"/>
      <c r="H21" s="47" t="s">
        <v>65</v>
      </c>
      <c r="I21" s="48"/>
      <c r="J21" s="1"/>
      <c r="K21" s="8"/>
      <c r="L21" s="8"/>
    </row>
    <row r="22" spans="1:12" ht="30" customHeight="1" x14ac:dyDescent="0.25">
      <c r="A22" s="8"/>
      <c r="B22" s="45" t="s">
        <v>25</v>
      </c>
      <c r="C22" s="46"/>
      <c r="D22" s="1"/>
      <c r="E22" s="13"/>
      <c r="F22" s="13"/>
      <c r="G22" s="1"/>
      <c r="H22" s="45" t="s">
        <v>57</v>
      </c>
      <c r="I22" s="46"/>
      <c r="J22" s="1"/>
      <c r="K22" s="8"/>
      <c r="L22" s="8"/>
    </row>
    <row r="23" spans="1:12" ht="15" customHeight="1" x14ac:dyDescent="0.25">
      <c r="A23" s="8"/>
      <c r="B23" s="26" t="s">
        <v>26</v>
      </c>
      <c r="C23" s="27"/>
      <c r="D23" s="1"/>
      <c r="E23" s="33" t="s">
        <v>55</v>
      </c>
      <c r="F23" s="34"/>
      <c r="G23" s="1"/>
      <c r="H23" s="43" t="s">
        <v>56</v>
      </c>
      <c r="I23" s="43"/>
      <c r="J23" s="1"/>
      <c r="K23" s="8"/>
      <c r="L23" s="8"/>
    </row>
    <row r="24" spans="1:12" x14ac:dyDescent="0.25">
      <c r="A24" s="8"/>
      <c r="B24" s="26" t="s">
        <v>27</v>
      </c>
      <c r="C24" s="27"/>
      <c r="D24" s="1"/>
      <c r="E24" s="30" t="s">
        <v>70</v>
      </c>
      <c r="F24" s="31"/>
      <c r="G24" s="1"/>
      <c r="H24" s="44"/>
      <c r="I24" s="44"/>
      <c r="J24" s="1"/>
      <c r="K24" s="8"/>
      <c r="L24" s="8"/>
    </row>
    <row r="25" spans="1:12" x14ac:dyDescent="0.25">
      <c r="A25" s="8"/>
      <c r="B25" s="26" t="s">
        <v>28</v>
      </c>
      <c r="C25" s="27"/>
      <c r="D25" s="1"/>
      <c r="E25" s="30" t="s">
        <v>71</v>
      </c>
      <c r="F25" s="31"/>
      <c r="G25" s="1"/>
      <c r="H25" s="1"/>
      <c r="I25" s="1"/>
      <c r="J25" s="1"/>
      <c r="K25" s="8"/>
      <c r="L25" s="8"/>
    </row>
    <row r="26" spans="1:12" x14ac:dyDescent="0.25">
      <c r="A26" s="8"/>
      <c r="B26" s="26" t="s">
        <v>29</v>
      </c>
      <c r="C26" s="27"/>
      <c r="D26" s="1"/>
      <c r="E26" s="30" t="s">
        <v>72</v>
      </c>
      <c r="F26" s="31"/>
      <c r="G26" s="1"/>
      <c r="H26" s="33" t="s">
        <v>55</v>
      </c>
      <c r="I26" s="34"/>
      <c r="J26" s="1"/>
      <c r="K26" s="8"/>
      <c r="L26" s="8"/>
    </row>
    <row r="27" spans="1:12" x14ac:dyDescent="0.25">
      <c r="A27" s="8"/>
      <c r="B27" s="24" t="s">
        <v>34</v>
      </c>
      <c r="C27" s="25"/>
      <c r="D27" s="1"/>
      <c r="E27" s="35" t="s">
        <v>69</v>
      </c>
      <c r="F27" s="36"/>
      <c r="G27" s="1"/>
      <c r="H27" s="30" t="s">
        <v>59</v>
      </c>
      <c r="I27" s="31"/>
      <c r="J27" s="1"/>
      <c r="K27" s="8"/>
      <c r="L27" s="8"/>
    </row>
    <row r="28" spans="1:12" x14ac:dyDescent="0.25">
      <c r="A28" s="8"/>
      <c r="B28" s="1"/>
      <c r="C28" s="1"/>
      <c r="D28" s="1"/>
      <c r="E28" s="30" t="s">
        <v>73</v>
      </c>
      <c r="F28" s="31"/>
      <c r="G28" s="1"/>
      <c r="H28" s="30" t="s">
        <v>60</v>
      </c>
      <c r="I28" s="31"/>
      <c r="J28" s="1"/>
      <c r="K28" s="8"/>
      <c r="L28" s="8"/>
    </row>
    <row r="29" spans="1:12" x14ac:dyDescent="0.25">
      <c r="A29" s="8"/>
      <c r="B29" s="33" t="s">
        <v>55</v>
      </c>
      <c r="C29" s="34"/>
      <c r="D29" s="1"/>
      <c r="E29" s="35" t="s">
        <v>74</v>
      </c>
      <c r="F29" s="36"/>
      <c r="G29" s="1"/>
      <c r="H29" s="30" t="s">
        <v>61</v>
      </c>
      <c r="I29" s="31"/>
      <c r="J29" s="1"/>
      <c r="K29" s="8"/>
      <c r="L29" s="8"/>
    </row>
    <row r="30" spans="1:12" x14ac:dyDescent="0.25">
      <c r="A30" s="1"/>
      <c r="B30" s="30" t="s">
        <v>78</v>
      </c>
      <c r="C30" s="31"/>
      <c r="D30" s="1"/>
      <c r="E30" s="30" t="s">
        <v>75</v>
      </c>
      <c r="F30" s="31"/>
      <c r="G30" s="1"/>
      <c r="H30" s="30" t="s">
        <v>62</v>
      </c>
      <c r="I30" s="31"/>
      <c r="J30" s="1"/>
      <c r="K30" s="1"/>
      <c r="L30" s="1"/>
    </row>
    <row r="31" spans="1:12" x14ac:dyDescent="0.25">
      <c r="A31" s="1"/>
      <c r="B31" s="30" t="s">
        <v>79</v>
      </c>
      <c r="C31" s="31"/>
      <c r="D31" s="1"/>
      <c r="E31" s="30" t="s">
        <v>76</v>
      </c>
      <c r="F31" s="31"/>
      <c r="G31" s="1"/>
      <c r="H31" s="30" t="s">
        <v>63</v>
      </c>
      <c r="I31" s="31"/>
      <c r="J31" s="1"/>
      <c r="K31" s="1"/>
      <c r="L31" s="1"/>
    </row>
    <row r="32" spans="1:12" x14ac:dyDescent="0.25">
      <c r="A32" s="1"/>
      <c r="B32" s="28" t="s">
        <v>80</v>
      </c>
      <c r="C32" s="29"/>
      <c r="D32" s="1"/>
      <c r="E32" s="28" t="s">
        <v>77</v>
      </c>
      <c r="F32" s="29"/>
      <c r="G32" s="1"/>
      <c r="H32" s="17"/>
      <c r="I32" s="18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17" t="s">
        <v>67</v>
      </c>
      <c r="I33" s="18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28" t="s">
        <v>66</v>
      </c>
      <c r="I34" s="29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</sheetData>
  <mergeCells count="44">
    <mergeCell ref="I3:J3"/>
    <mergeCell ref="B29:C29"/>
    <mergeCell ref="B30:C30"/>
    <mergeCell ref="B31:C31"/>
    <mergeCell ref="B32:C32"/>
    <mergeCell ref="E32:F32"/>
    <mergeCell ref="H23:I24"/>
    <mergeCell ref="H26:I26"/>
    <mergeCell ref="I9:I11"/>
    <mergeCell ref="B22:C22"/>
    <mergeCell ref="B21:C21"/>
    <mergeCell ref="E21:F21"/>
    <mergeCell ref="H21:I21"/>
    <mergeCell ref="H22:I22"/>
    <mergeCell ref="H17:I17"/>
    <mergeCell ref="E17:F17"/>
    <mergeCell ref="K13:K15"/>
    <mergeCell ref="K9:K11"/>
    <mergeCell ref="H31:I31"/>
    <mergeCell ref="E23:F23"/>
    <mergeCell ref="E24:F24"/>
    <mergeCell ref="E25:F25"/>
    <mergeCell ref="E26:F26"/>
    <mergeCell ref="E27:F27"/>
    <mergeCell ref="E28:F28"/>
    <mergeCell ref="E29:F29"/>
    <mergeCell ref="E30:F30"/>
    <mergeCell ref="E31:F31"/>
    <mergeCell ref="B19:I19"/>
    <mergeCell ref="H18:I18"/>
    <mergeCell ref="E18:F18"/>
    <mergeCell ref="B18:C18"/>
    <mergeCell ref="H34:I34"/>
    <mergeCell ref="H30:I30"/>
    <mergeCell ref="H29:I29"/>
    <mergeCell ref="H28:I28"/>
    <mergeCell ref="H27:I27"/>
    <mergeCell ref="B17:C17"/>
    <mergeCell ref="I13:I15"/>
    <mergeCell ref="B27:C27"/>
    <mergeCell ref="B26:C26"/>
    <mergeCell ref="B25:C25"/>
    <mergeCell ref="B24:C24"/>
    <mergeCell ref="B23:C23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heckBox1">
          <controlPr defaultSize="0" autoLine="0" autoPict="0" r:id="rId5">
            <anchor moveWithCells="1">
              <from>
                <xdr:col>9</xdr:col>
                <xdr:colOff>0</xdr:colOff>
                <xdr:row>4</xdr:row>
                <xdr:rowOff>0</xdr:rowOff>
              </from>
              <to>
                <xdr:col>10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5" r:id="rId4" name="CheckBox1"/>
      </mc:Fallback>
    </mc:AlternateContent>
    <mc:AlternateContent xmlns:mc="http://schemas.openxmlformats.org/markup-compatibility/2006">
      <mc:Choice Requires="x14">
        <control shapeId="1026" r:id="rId6" name="CheckBox2">
          <controlPr defaultSize="0" autoLine="0" autoPict="0" r:id="rId7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10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26" r:id="rId6" name="CheckBox2"/>
      </mc:Fallback>
    </mc:AlternateContent>
    <mc:AlternateContent xmlns:mc="http://schemas.openxmlformats.org/markup-compatibility/2006">
      <mc:Choice Requires="x14">
        <control shapeId="1027" r:id="rId8" name="CheckBox3">
          <controlPr defaultSize="0" autoLine="0" autoPict="0" r:id="rId7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7" r:id="rId8" name="CheckBox3"/>
      </mc:Fallback>
    </mc:AlternateContent>
    <mc:AlternateContent xmlns:mc="http://schemas.openxmlformats.org/markup-compatibility/2006">
      <mc:Choice Requires="x14">
        <control shapeId="1028" r:id="rId9" name="CheckBox4">
          <controlPr defaultSize="0" autoLine="0" autoPict="0" r:id="rId1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28" r:id="rId9" name="CheckBox4"/>
      </mc:Fallback>
    </mc:AlternateContent>
    <mc:AlternateContent xmlns:mc="http://schemas.openxmlformats.org/markup-compatibility/2006">
      <mc:Choice Requires="x14">
        <control shapeId="1029" r:id="rId11" name="CheckBox5">
          <controlPr defaultSize="0" autoLine="0" autoPict="0" r:id="rId12">
            <anchor moveWithCells="1">
              <from>
                <xdr:col>9</xdr:col>
                <xdr:colOff>0</xdr:colOff>
                <xdr:row>8</xdr:row>
                <xdr:rowOff>0</xdr:rowOff>
              </from>
              <to>
                <xdr:col>10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029" r:id="rId11" name="CheckBox5"/>
      </mc:Fallback>
    </mc:AlternateContent>
    <mc:AlternateContent xmlns:mc="http://schemas.openxmlformats.org/markup-compatibility/2006">
      <mc:Choice Requires="x14">
        <control shapeId="1030" r:id="rId13" name="CheckBox6">
          <controlPr defaultSize="0" autoLine="0" autoPict="0" r:id="rId7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30" r:id="rId13" name="CheckBox6"/>
      </mc:Fallback>
    </mc:AlternateContent>
    <mc:AlternateContent xmlns:mc="http://schemas.openxmlformats.org/markup-compatibility/2006">
      <mc:Choice Requires="x14">
        <control shapeId="1031" r:id="rId14" name="CheckBox7">
          <controlPr defaultSize="0" autoLine="0" autoPict="0" r:id="rId12">
            <anchor moveWithCells="1">
              <from>
                <xdr:col>9</xdr:col>
                <xdr:colOff>0</xdr:colOff>
                <xdr:row>12</xdr:row>
                <xdr:rowOff>0</xdr:rowOff>
              </from>
              <to>
                <xdr:col>10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031" r:id="rId14" name="CheckBox7"/>
      </mc:Fallback>
    </mc:AlternateContent>
    <mc:AlternateContent xmlns:mc="http://schemas.openxmlformats.org/markup-compatibility/2006">
      <mc:Choice Requires="x14">
        <control shapeId="1032" r:id="rId15" name="countBtn">
          <controlPr defaultSize="0" autoLine="0" r:id="rId16">
            <anchor moveWithCells="1">
              <from>
                <xdr:col>7</xdr:col>
                <xdr:colOff>990600</xdr:colOff>
                <xdr:row>16</xdr:row>
                <xdr:rowOff>104775</xdr:rowOff>
              </from>
              <to>
                <xdr:col>7</xdr:col>
                <xdr:colOff>4038600</xdr:colOff>
                <xdr:row>16</xdr:row>
                <xdr:rowOff>438150</xdr:rowOff>
              </to>
            </anchor>
          </controlPr>
        </control>
      </mc:Choice>
      <mc:Fallback>
        <control shapeId="1032" r:id="rId15" name="countBtn"/>
      </mc:Fallback>
    </mc:AlternateContent>
    <mc:AlternateContent xmlns:mc="http://schemas.openxmlformats.org/markup-compatibility/2006">
      <mc:Choice Requires="x14">
        <control shapeId="1033" r:id="rId17" name="countWords">
          <controlPr defaultSize="0" autoLine="0" r:id="rId18">
            <anchor moveWithCells="1">
              <from>
                <xdr:col>4</xdr:col>
                <xdr:colOff>733425</xdr:colOff>
                <xdr:row>16</xdr:row>
                <xdr:rowOff>171450</xdr:rowOff>
              </from>
              <to>
                <xdr:col>4</xdr:col>
                <xdr:colOff>2419350</xdr:colOff>
                <xdr:row>16</xdr:row>
                <xdr:rowOff>466725</xdr:rowOff>
              </to>
            </anchor>
          </controlPr>
        </control>
      </mc:Choice>
      <mc:Fallback>
        <control shapeId="1033" r:id="rId17" name="countWords"/>
      </mc:Fallback>
    </mc:AlternateContent>
    <mc:AlternateContent xmlns:mc="http://schemas.openxmlformats.org/markup-compatibility/2006">
      <mc:Choice Requires="x14">
        <control shapeId="1034" r:id="rId19" name="analyseMail">
          <controlPr defaultSize="0" autoLine="0" autoPict="0" r:id="rId20">
            <anchor moveWithCells="1">
              <from>
                <xdr:col>1</xdr:col>
                <xdr:colOff>542925</xdr:colOff>
                <xdr:row>16</xdr:row>
                <xdr:rowOff>171450</xdr:rowOff>
              </from>
              <to>
                <xdr:col>2</xdr:col>
                <xdr:colOff>838200</xdr:colOff>
                <xdr:row>16</xdr:row>
                <xdr:rowOff>533400</xdr:rowOff>
              </to>
            </anchor>
          </controlPr>
        </control>
      </mc:Choice>
      <mc:Fallback>
        <control shapeId="1034" r:id="rId19" name="analyseMai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ing.Petr Dydowicz, Ph.D.</dc:creator>
  <cp:lastModifiedBy>Prometeus</cp:lastModifiedBy>
  <cp:lastPrinted>2017-03-04T12:36:10Z</cp:lastPrinted>
  <dcterms:created xsi:type="dcterms:W3CDTF">2013-04-03T16:08:39Z</dcterms:created>
  <dcterms:modified xsi:type="dcterms:W3CDTF">2017-03-07T11:06:33Z</dcterms:modified>
</cp:coreProperties>
</file>